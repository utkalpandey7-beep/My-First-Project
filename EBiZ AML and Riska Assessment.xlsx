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91561bb9863080c8/Desktop/"/>
    </mc:Choice>
  </mc:AlternateContent>
  <xr:revisionPtr revIDLastSave="501" documentId="11_F25DC773A252ABDACC104879595F70C65ADE58EF" xr6:coauthVersionLast="47" xr6:coauthVersionMax="47" xr10:uidLastSave="{62EB16E7-30E5-4696-9B58-AE4D0F4C5A26}"/>
  <bookViews>
    <workbookView xWindow="-108" yWindow="-108" windowWidth="23256" windowHeight="12456" firstSheet="2" activeTab="5" xr2:uid="{00000000-000D-0000-FFFF-FFFF00000000}"/>
  </bookViews>
  <sheets>
    <sheet name="Institution Overview" sheetId="1" r:id="rId1"/>
    <sheet name="ML Risk Identification" sheetId="2" r:id="rId2"/>
    <sheet name="AML Risk Heatmap" sheetId="3" r:id="rId3"/>
    <sheet name="Risk Control Matrix" sheetId="5" r:id="rId4"/>
    <sheet name="Residual Risk Assessment" sheetId="6" r:id="rId5"/>
    <sheet name="Three Lines of Defenc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6" l="1"/>
  <c r="F14" i="6"/>
  <c r="F15" i="6"/>
  <c r="F16" i="6"/>
  <c r="F17" i="6"/>
  <c r="G17" i="6" s="1"/>
  <c r="F18" i="6"/>
  <c r="G18" i="6" s="1"/>
  <c r="F19" i="6"/>
  <c r="G19" i="6" s="1"/>
  <c r="F12" i="6"/>
  <c r="G12" i="6" s="1"/>
  <c r="G13" i="6"/>
  <c r="G14" i="6"/>
  <c r="G15" i="6"/>
  <c r="G16" i="6"/>
  <c r="F28" i="3"/>
  <c r="F29" i="3"/>
  <c r="F30" i="3"/>
  <c r="F31" i="3"/>
  <c r="F32" i="3"/>
  <c r="F33" i="3"/>
  <c r="F34" i="3"/>
  <c r="F27" i="3"/>
  <c r="E28" i="3"/>
  <c r="E29" i="3"/>
  <c r="E30" i="3"/>
  <c r="E31" i="3"/>
  <c r="E32" i="3"/>
  <c r="E33" i="3"/>
  <c r="E34" i="3"/>
  <c r="E27" i="3"/>
</calcChain>
</file>

<file path=xl/sharedStrings.xml><?xml version="1.0" encoding="utf-8"?>
<sst xmlns="http://schemas.openxmlformats.org/spreadsheetml/2006/main" count="327" uniqueCount="268">
  <si>
    <t>Type: Integrated payments platform / payment gateway / AR automation EBizCharge</t>
  </si>
  <si>
    <t>Geographic footprint (stated): United States and Canada LinkedIn</t>
  </si>
  <si>
    <t>Scale (publicly stated on EBizCharge site / LinkedIn):</t>
  </si>
  <si>
    <t>Institution / Platform: EBizCharge</t>
  </si>
  <si>
    <t xml:space="preserve">“Over 400,000 users across the U.S. and Canada.” </t>
  </si>
  <si>
    <t xml:space="preserve">“Simplified the payment process for over 40,000 businesses in the US.” </t>
  </si>
  <si>
    <t xml:space="preserve">“Powering payments for 20,000+ enterprise, mid-sized, and small businesses.” </t>
  </si>
  <si>
    <t>Payment types supported (platform description)</t>
  </si>
  <si>
    <t>Delivery channels / ways payments are initiated</t>
  </si>
  <si>
    <t>Industries served (used to understand exposure)</t>
  </si>
  <si>
    <t xml:space="preserve">EBizCharge states it powers payments for 100+ industries, including examples like B2B Distribution, Manufacturing, Construction, Government, Education, Retail, Healthcare (and more). </t>
  </si>
  <si>
    <t xml:space="preserve">Embedded inside business systems (works natively inside 100+ ERP/CRM/accounting/eCommerce tools) </t>
  </si>
  <si>
    <t xml:space="preserve">Virtual Terminal (card-not-present / manual entry) </t>
  </si>
  <si>
    <t xml:space="preserve">Mobile &amp; EMV terminals (in-person acceptance) </t>
  </si>
  <si>
    <t xml:space="preserve">Email payment links / customer portal options (described as features enabling customers to pay invoices) </t>
  </si>
  <si>
    <t>Founded: 2004</t>
  </si>
  <si>
    <t xml:space="preserve">Headquarters: Irvine, California (USA) </t>
  </si>
  <si>
    <t xml:space="preserve">Credit card, debit card, and ACH/eCheck processing </t>
  </si>
  <si>
    <t>Customers</t>
  </si>
  <si>
    <r>
      <t xml:space="preserve">EBizCharge is positioned for </t>
    </r>
    <r>
      <rPr>
        <b/>
        <sz val="11"/>
        <color theme="1"/>
        <rFont val="Calibri"/>
        <family val="2"/>
        <scheme val="minor"/>
      </rPr>
      <t>B2B companies and small businesses</t>
    </r>
    <r>
      <rPr>
        <sz val="11"/>
        <color theme="1"/>
        <rFont val="Calibri"/>
        <family val="2"/>
        <scheme val="minor"/>
      </rPr>
      <t>, with embedded integrations into ERP/accounting/eCommerce platforms.</t>
    </r>
  </si>
  <si>
    <t>Small-to-mid sized businesses needing payment processing + AR automation</t>
  </si>
  <si>
    <t>Practical customer segments:</t>
  </si>
  <si>
    <t>EBizCharge states:</t>
  </si>
  <si>
    <t xml:space="preserve">Mentions fraud detection and prevention with configurable rules (e.g., block by IP/country, duplicate transaction control) </t>
  </si>
  <si>
    <t xml:space="preserve">Uses tokenization and encryption, and references TLS 1.2 for data in transit </t>
  </si>
  <si>
    <t>PCI-certified integrator &amp; reseller (certified by PCI Security Standards Council)</t>
  </si>
  <si>
    <t>Security &amp; compliance posture:</t>
  </si>
  <si>
    <t xml:space="preserve">B2B merchants / enterprises using ERPs and AR workflows </t>
  </si>
  <si>
    <t>AML Risk Assessment scope statement</t>
  </si>
  <si>
    <t>This AML/CTF risk assessment covers money-laundering and terrorist-financing risks associated with EBizCharge’s payment processing and accounts receivable automation platform, focusing on:                                                                                                                                        (1) customer/merchant profiles,                                                                                                                   (2) products and services offered (card, ACH/eCheck, AR workflows),                                                      (3) delivery channels (embedded integrations, virtual terminal, mobile/EMV, invoice-pay links/portal),                                                                                                                                                             (4) geographic exposure (U.S. and Canada). This scope follows the FATF risk-based approach, which assesses risk across factors such as customers, products/services, delivery channels, and geography.</t>
  </si>
  <si>
    <t>Methodology</t>
  </si>
  <si>
    <t>This step identifies inherent money laundering (ML) and terrorist financing (TF) risks associated with EBizCharge’s payment processing and AR automation services by assessing risk across customer, product/service, delivery channel, and geographic dimensions, in line with the FATF risk-based approach.</t>
  </si>
  <si>
    <t>Customer / Merchant Risk Identification</t>
  </si>
  <si>
    <r>
      <t xml:space="preserve">EBizCharge serves </t>
    </r>
    <r>
      <rPr>
        <b/>
        <sz val="11"/>
        <color theme="1"/>
        <rFont val="Calibri"/>
        <family val="2"/>
        <scheme val="minor"/>
      </rPr>
      <t>business merchants</t>
    </r>
    <r>
      <rPr>
        <sz val="11"/>
        <color theme="1"/>
        <rFont val="Calibri"/>
        <family val="2"/>
        <scheme val="minor"/>
      </rPr>
      <t xml:space="preserve"> across multiple industries.</t>
    </r>
  </si>
  <si>
    <r>
      <t xml:space="preserve">Customer risk arises from </t>
    </r>
    <r>
      <rPr>
        <b/>
        <sz val="11"/>
        <color theme="1"/>
        <rFont val="Calibri"/>
        <family val="2"/>
        <scheme val="minor"/>
      </rPr>
      <t>who the merchants are</t>
    </r>
    <r>
      <rPr>
        <sz val="11"/>
        <color theme="1"/>
        <rFont val="Calibri"/>
        <family val="2"/>
        <scheme val="minor"/>
      </rPr>
      <t xml:space="preserve">, </t>
    </r>
    <r>
      <rPr>
        <b/>
        <sz val="11"/>
        <color theme="1"/>
        <rFont val="Calibri"/>
        <family val="2"/>
        <scheme val="minor"/>
      </rPr>
      <t>who their payers are</t>
    </r>
    <r>
      <rPr>
        <sz val="11"/>
        <color theme="1"/>
        <rFont val="Calibri"/>
        <family val="2"/>
        <scheme val="minor"/>
      </rPr>
      <t xml:space="preserve">, and </t>
    </r>
    <r>
      <rPr>
        <b/>
        <sz val="11"/>
        <color theme="1"/>
        <rFont val="Calibri"/>
        <family val="2"/>
        <scheme val="minor"/>
      </rPr>
      <t>how funds flow through them</t>
    </r>
    <r>
      <rPr>
        <sz val="11"/>
        <color theme="1"/>
        <rFont val="Calibri"/>
        <family val="2"/>
        <scheme val="minor"/>
      </rPr>
      <t>.</t>
    </r>
  </si>
  <si>
    <t>Key ML/TF Risk Events — Customer Dimension</t>
  </si>
  <si>
    <t>Risk ID</t>
  </si>
  <si>
    <t>Risk Description</t>
  </si>
  <si>
    <t>Why This Risk Exists</t>
  </si>
  <si>
    <t>CR-01</t>
  </si>
  <si>
    <t>Use of merchant accounts by shell or front companies</t>
  </si>
  <si>
    <t>Payment processors can be misused by entities with limited physical presence or opaque ownership</t>
  </si>
  <si>
    <t>CR-02</t>
  </si>
  <si>
    <t>High-risk industries using the platform</t>
  </si>
  <si>
    <t>Certain industries (e.g., cash-intensive, trade-heavy, online services) have higher ML exposure</t>
  </si>
  <si>
    <t>CR-03</t>
  </si>
  <si>
    <t>Complex ownership structures of merchants</t>
  </si>
  <si>
    <t>Multi-layered ownership increases difficulty in identifying beneficial owners</t>
  </si>
  <si>
    <t>CR-04</t>
  </si>
  <si>
    <t>Third-party payment acceptance on behalf of others</t>
  </si>
  <si>
    <t>Merchants collecting payments for downstream parties increases opacity</t>
  </si>
  <si>
    <t>CR-05</t>
  </si>
  <si>
    <t>Politically Exposed Persons (PEPs) connected to merchant ownership or control</t>
  </si>
  <si>
    <t>PEP involvement elevates corruption and bribery risk</t>
  </si>
  <si>
    <t>Product &amp; Service Risk Identification</t>
  </si>
  <si>
    <r>
      <t xml:space="preserve">EBizCharge publicly supports </t>
    </r>
    <r>
      <rPr>
        <b/>
        <sz val="11"/>
        <color theme="1"/>
        <rFont val="Calibri"/>
        <family val="2"/>
        <scheme val="minor"/>
      </rPr>
      <t>card payments</t>
    </r>
    <r>
      <rPr>
        <sz val="11"/>
        <color theme="1"/>
        <rFont val="Calibri"/>
        <family val="2"/>
        <scheme val="minor"/>
      </rPr>
      <t xml:space="preserve"> and </t>
    </r>
    <r>
      <rPr>
        <b/>
        <sz val="11"/>
        <color theme="1"/>
        <rFont val="Calibri"/>
        <family val="2"/>
        <scheme val="minor"/>
      </rPr>
      <t>ACH/eCheck</t>
    </r>
    <r>
      <rPr>
        <sz val="11"/>
        <color theme="1"/>
        <rFont val="Calibri"/>
        <family val="2"/>
        <scheme val="minor"/>
      </rPr>
      <t>, embedded inside ERP and AR workflows.</t>
    </r>
  </si>
  <si>
    <t>Key ML/TF Risk Events — Product Dimension</t>
  </si>
  <si>
    <t>Product / Service</t>
  </si>
  <si>
    <t>ML/TF Risk Explanation</t>
  </si>
  <si>
    <t>PR-01</t>
  </si>
  <si>
    <t>Card-not-present transactions</t>
  </si>
  <si>
    <t>Higher fraud and identity misuse risk</t>
  </si>
  <si>
    <t>PR-02</t>
  </si>
  <si>
    <t>ACH / eCheck payments</t>
  </si>
  <si>
    <t>Can be used for layering and rapid fund movement</t>
  </si>
  <si>
    <t>PR-03</t>
  </si>
  <si>
    <t>High-value B2B invoice payments</t>
  </si>
  <si>
    <t>Large transaction values may obscure illicit funds</t>
  </si>
  <si>
    <t>PR-04</t>
  </si>
  <si>
    <t>Recurring / automated payments</t>
  </si>
  <si>
    <t>Reduced human oversight once set up</t>
  </si>
  <si>
    <t>PR-05</t>
  </si>
  <si>
    <t>Refunds and reversals</t>
  </si>
  <si>
    <t>Can be exploited for laundering through circular flows</t>
  </si>
  <si>
    <t>Delivery Channel Risk Identification</t>
  </si>
  <si>
    <r>
      <t xml:space="preserve">EBizCharge emphasizes </t>
    </r>
    <r>
      <rPr>
        <b/>
        <sz val="11"/>
        <color theme="1"/>
        <rFont val="Calibri"/>
        <family val="2"/>
        <scheme val="minor"/>
      </rPr>
      <t>embedded, digital, and non-face-to-face channels</t>
    </r>
    <r>
      <rPr>
        <sz val="11"/>
        <color theme="1"/>
        <rFont val="Calibri"/>
        <family val="2"/>
        <scheme val="minor"/>
      </rPr>
      <t>.</t>
    </r>
  </si>
  <si>
    <t>Key ML/TF Risk Events — Channel Dimension</t>
  </si>
  <si>
    <t>Channel</t>
  </si>
  <si>
    <t>CH-01</t>
  </si>
  <si>
    <t>Non-face-to-face onboarding</t>
  </si>
  <si>
    <t>Increased impersonation and identity fraud risk</t>
  </si>
  <si>
    <t>CH-02</t>
  </si>
  <si>
    <t>ERP / accounting system integrations</t>
  </si>
  <si>
    <t>Risk of limited visibility into underlying commercial activity</t>
  </si>
  <si>
    <t>CH-03</t>
  </si>
  <si>
    <t>Virtual terminals</t>
  </si>
  <si>
    <t>Manual entry can bypass automated safeguards</t>
  </si>
  <si>
    <t>CH-04</t>
  </si>
  <si>
    <t>Remote access by merchants</t>
  </si>
  <si>
    <t>Cross-border access increases monitoring complexity</t>
  </si>
  <si>
    <t>Geographic Risk Identification</t>
  </si>
  <si>
    <r>
      <t xml:space="preserve">We do </t>
    </r>
    <r>
      <rPr>
        <b/>
        <sz val="11"/>
        <color theme="1"/>
        <rFont val="Calibri"/>
        <family val="2"/>
        <scheme val="minor"/>
      </rPr>
      <t>not</t>
    </r>
    <r>
      <rPr>
        <sz val="11"/>
        <color theme="1"/>
        <rFont val="Calibri"/>
        <family val="2"/>
        <scheme val="minor"/>
      </rPr>
      <t xml:space="preserve"> claim EBizCharge operates in all countries.</t>
    </r>
  </si>
  <si>
    <r>
      <t xml:space="preserve">We assess </t>
    </r>
    <r>
      <rPr>
        <b/>
        <sz val="11"/>
        <color theme="1"/>
        <rFont val="Calibri"/>
        <family val="2"/>
        <scheme val="minor"/>
      </rPr>
      <t>geographic exposure arising from cross-border payments and merchant activity</t>
    </r>
    <r>
      <rPr>
        <sz val="11"/>
        <color theme="1"/>
        <rFont val="Calibri"/>
        <family val="2"/>
        <scheme val="minor"/>
      </rPr>
      <t>.</t>
    </r>
  </si>
  <si>
    <t>Key principle:</t>
  </si>
  <si>
    <t>Geographic Risk</t>
  </si>
  <si>
    <t>GR-01</t>
  </si>
  <si>
    <t>Payments involving high-risk or sanctioned jurisdictions</t>
  </si>
  <si>
    <t>Elevated ML/TF and sanctions-evasion risk</t>
  </si>
  <si>
    <t>GR-02</t>
  </si>
  <si>
    <t>Cross-border B2B payments</t>
  </si>
  <si>
    <t>Increased layering and jurisdictional arbitrage</t>
  </si>
  <si>
    <t>GR-03</t>
  </si>
  <si>
    <t>Use by merchants serving customers globally</t>
  </si>
  <si>
    <t>Reduced transparency over source of funds</t>
  </si>
  <si>
    <t>GR-04</t>
  </si>
  <si>
    <t>Differing AML regulatory standards worldwide</t>
  </si>
  <si>
    <t>Inconsistent controls across jurisdictions</t>
  </si>
  <si>
    <t>Risk Scoring Methodology</t>
  </si>
  <si>
    <t>Inherent ML/TF risks were assessed using a likelihood-and-impact scoring methodology. Each risk was scored on a scale of 1 (Low) to 5 (High) for likelihood and impact, prior to considering mitigating controls, in line with FATF guidance on inherent risk assessment.</t>
  </si>
  <si>
    <t>Scoring Scales</t>
  </si>
  <si>
    <t>Likelihood Scale</t>
  </si>
  <si>
    <t>Score</t>
  </si>
  <si>
    <t>Likelihood Definition</t>
  </si>
  <si>
    <t>Rare – highly unlikely to occur</t>
  </si>
  <si>
    <t>Unlikely</t>
  </si>
  <si>
    <t>Possible</t>
  </si>
  <si>
    <t>Likely</t>
  </si>
  <si>
    <t>Almost certain</t>
  </si>
  <si>
    <t>Impact Scale</t>
  </si>
  <si>
    <t>Impact Definition</t>
  </si>
  <si>
    <t>Minimal regulatory or financial impact</t>
  </si>
  <si>
    <t>Minor operational impact</t>
  </si>
  <si>
    <t>Moderate regulatory scrutiny</t>
  </si>
  <si>
    <t>Major financial or regulatory impact</t>
  </si>
  <si>
    <t>Severe regulatory, legal, or reputational damage</t>
  </si>
  <si>
    <t>Likelihood</t>
  </si>
  <si>
    <t>Impact</t>
  </si>
  <si>
    <t>Inherent Score</t>
  </si>
  <si>
    <t>Risk Level</t>
  </si>
  <si>
    <t>Shell or front company misuse</t>
  </si>
  <si>
    <t>High</t>
  </si>
  <si>
    <t>PEP-linked merchant ownership</t>
  </si>
  <si>
    <t>Medium</t>
  </si>
  <si>
    <t>ACH/eCheck layering risk</t>
  </si>
  <si>
    <t>Critical</t>
  </si>
  <si>
    <t>Refund abuse</t>
  </si>
  <si>
    <t>Virtual terminal misuse</t>
  </si>
  <si>
    <t>High-risk jurisdiction exposure</t>
  </si>
  <si>
    <t>Cross-border transaction opacity</t>
  </si>
  <si>
    <t>Interpretation</t>
  </si>
  <si>
    <t>The inherent risk assessment indicates elevated ML/TF exposure arising primarily from non-face-to-face onboarding, ACH/eCheck payments, and cross-border transaction activity. These risks are inherent to payment processing platforms and require proportionate mitigation through enhanced due diligence, transaction monitoring, and governance controls.</t>
  </si>
  <si>
    <t>Inherent Risk Scoring Table/Heatmap</t>
  </si>
  <si>
    <t>Risk Category</t>
  </si>
  <si>
    <t>Inherent Risk Description</t>
  </si>
  <si>
    <t>Key Mitigation Controls</t>
  </si>
  <si>
    <t>Control Type</t>
  </si>
  <si>
    <t>Monitoring Mechanism</t>
  </si>
  <si>
    <t>Owner</t>
  </si>
  <si>
    <t>Customer Risk</t>
  </si>
  <si>
    <t>Use of shell or front companies to process illicit funds</t>
  </si>
  <si>
    <t>Preventive</t>
  </si>
  <si>
    <t>Periodic customer reviews; trigger reviews on changes in ownership</t>
  </si>
  <si>
    <t>Compliance</t>
  </si>
  <si>
    <t>Merchant ownership or control linked to Politically Exposed Persons (PEPs)</t>
  </si>
  <si>
    <t>Product Risk</t>
  </si>
  <si>
    <t>ACH / eCheck transactions used for layering and rapid movement of funds</t>
  </si>
  <si>
    <t>Detective</t>
  </si>
  <si>
    <t>Real-time alerts; daily exception review</t>
  </si>
  <si>
    <t>AML Operations</t>
  </si>
  <si>
    <t>Abuse of refunds and reversals to disguise illicit funds</t>
  </si>
  <si>
    <t>Periodic trend analysis; alert escalation</t>
  </si>
  <si>
    <t>Channel Risk</t>
  </si>
  <si>
    <t>Non-face-to-face onboarding increasing impersonation risk</t>
  </si>
  <si>
    <t>Onboarding quality checks; audit sampling</t>
  </si>
  <si>
    <t>Misuse of virtual terminals through manual transaction entry</t>
  </si>
  <si>
    <t>Access reviews; audit log monitoring</t>
  </si>
  <si>
    <t>Operations</t>
  </si>
  <si>
    <t>Transactions involving high-risk or sanctioned jurisdictions</t>
  </si>
  <si>
    <t>Sanctions list updates; alert review</t>
  </si>
  <si>
    <t>Cross-border transactions reducing transparency of source of funds</t>
  </si>
  <si>
    <t>Quarterly reviews; risk re-scoring</t>
  </si>
  <si>
    <t>AML Team</t>
  </si>
  <si>
    <t>• Customer Due Diligence (CDD)          • Beneficial ownership identification             • Verification of business legitimacy</t>
  </si>
  <si>
    <t>• Enhanced transaction monitoring                   • Periodic merchant risk reassessment</t>
  </si>
  <si>
    <t>• Country risk screening                        • Sanctions filtering • Transaction blocking/escalation</t>
  </si>
  <si>
    <t>• Restricted access controls                               • Transaction limits   • Activity logging</t>
  </si>
  <si>
    <t>• Identity verification                        • Document validation                    • Sanctions screening</t>
  </si>
  <si>
    <t>• Refund limits           • Monitoring of refund frequency and amounts</t>
  </si>
  <si>
    <t>• Transaction monitoring rules        • Velocity and value thresholds                   • Pattern analysis</t>
  </si>
  <si>
    <t>• PEP screening                 • Enhanced Due Diligence (EDD)          • Senior management approval</t>
  </si>
  <si>
    <t>Ongoing PEP re-screening;              enhanced monitoring</t>
  </si>
  <si>
    <t>Residual Risk Methodology</t>
  </si>
  <si>
    <t>Residual ML/TF risk was assessed after considering the design and effectiveness of mitigation controls identified in Step 4. Likelihood and impact scores were reassessed to reflect the expected reduction in risk exposure, in line with the FATF risk-based approach.</t>
  </si>
  <si>
    <t>Residual Risk Scoring Logic</t>
  </si>
  <si>
    <t>Key Principle</t>
  </si>
  <si>
    <r>
      <t>Impact usually remains the same</t>
    </r>
    <r>
      <rPr>
        <sz val="11"/>
        <color theme="1"/>
        <rFont val="Calibri"/>
        <family val="2"/>
        <scheme val="minor"/>
      </rPr>
      <t xml:space="preserve"> (regulatory consequences don’t change)</t>
    </r>
  </si>
  <si>
    <r>
      <t>Likelihood is reduced</t>
    </r>
    <r>
      <rPr>
        <sz val="11"/>
        <color theme="1"/>
        <rFont val="Calibri"/>
        <family val="2"/>
        <scheme val="minor"/>
      </rPr>
      <t xml:space="preserve"> due to controls</t>
    </r>
  </si>
  <si>
    <t>Residual Risk Matrix</t>
  </si>
  <si>
    <t>Key Controls Applied</t>
  </si>
  <si>
    <t>Residual Likelihood</t>
  </si>
  <si>
    <t>Residual Score</t>
  </si>
  <si>
    <t>Residual Risk Level</t>
  </si>
  <si>
    <t>16 (Critical)</t>
  </si>
  <si>
    <t>Monitoring rules, thresholds, reviews</t>
  </si>
  <si>
    <t>ID verification, screening</t>
  </si>
  <si>
    <t>12 (High)</t>
  </si>
  <si>
    <t>CDD, beneficial ownership checks</t>
  </si>
  <si>
    <t>Access controls, limits, logs</t>
  </si>
  <si>
    <t>Enhanced monitoring, reviews</t>
  </si>
  <si>
    <t>9 (Medium)</t>
  </si>
  <si>
    <t>Refund limits, pattern checks</t>
  </si>
  <si>
    <t>Low</t>
  </si>
  <si>
    <t>10 (Medium)</t>
  </si>
  <si>
    <t>EDD, senior approval</t>
  </si>
  <si>
    <t>Sanctions screening</t>
  </si>
  <si>
    <t>Risk Acceptance Statement</t>
  </si>
  <si>
    <t>Following the application of mitigation controls, residual ML/TF risks are assessed to fall within acceptable risk tolerance levels. Residual risks rated as Medium are subject to ongoing monitoring, while Low residual risks are managed through standard controls and periodic review.</t>
  </si>
  <si>
    <t>Management Action Triggers</t>
  </si>
  <si>
    <t>Management Action</t>
  </si>
  <si>
    <t>Immediate remediation required</t>
  </si>
  <si>
    <t>Senior management oversight</t>
  </si>
  <si>
    <t>Ongoing monitoring</t>
  </si>
  <si>
    <t>Acceptable; routine review</t>
  </si>
  <si>
    <t>AML Governance Structure</t>
  </si>
  <si>
    <t>AML governance is structured to ensure clear ownership, effective oversight, and independent assurance. Responsibilities are distributed across business operations, compliance oversight, and independent audit functions in accordance with the Three Lines of Defense model.</t>
  </si>
  <si>
    <t>Three Lines of Defense Model</t>
  </si>
  <si>
    <t>Risk ownership</t>
  </si>
  <si>
    <t>Risk oversight</t>
  </si>
  <si>
    <t>Independent assurance</t>
  </si>
  <si>
    <t>This prevents conflicts of interest and strengthens AML effectiveness.</t>
  </si>
  <si>
    <t>First Line of Defense — Business &amp; Operations</t>
  </si>
  <si>
    <t>Own and manage AML risk on a day-to-day basis</t>
  </si>
  <si>
    <t>Key Responsibilities</t>
  </si>
  <si>
    <t>Perform customer onboarding and data collection</t>
  </si>
  <si>
    <t>Follow AML policies and procedures</t>
  </si>
  <si>
    <t>Execute transaction processing within defined controls</t>
  </si>
  <si>
    <t>Escalate unusual or suspicious activity</t>
  </si>
  <si>
    <t>Examples at Platform Level</t>
  </si>
  <si>
    <t>Merchant onboarding teams</t>
  </si>
  <si>
    <t>Operations teams managing payment flows</t>
  </si>
  <si>
    <t>Staff using virtual terminals or payment systems</t>
  </si>
  <si>
    <t>Second Line of Defense — Compliance &amp; AML Oversight</t>
  </si>
  <si>
    <t>Design, monitor, and challenge AML controls</t>
  </si>
  <si>
    <t>Develop AML policies and procedures</t>
  </si>
  <si>
    <t>Conduct AML risk assessments (Steps 1–5)</t>
  </si>
  <si>
    <t>Perform transaction monitoring and alert reviews</t>
  </si>
  <si>
    <t>Manage sanctions screening and PEP checks</t>
  </si>
  <si>
    <t>Escalate and report suspicious activity where required</t>
  </si>
  <si>
    <t>Provide AML training to staff</t>
  </si>
  <si>
    <t>Governance Functions</t>
  </si>
  <si>
    <t>AML / Compliance function</t>
  </si>
  <si>
    <t>Risk management oversight</t>
  </si>
  <si>
    <t>Regulatory liaison</t>
  </si>
  <si>
    <t>Third Line of Defense — Independent Assurance</t>
  </si>
  <si>
    <t>Provide independent assurance on AML effectiveness</t>
  </si>
  <si>
    <t>Independently review AML framework and controls</t>
  </si>
  <si>
    <t>Test design and operating effectiveness</t>
  </si>
  <si>
    <t>Validate risk assessments and monitoring processes</t>
  </si>
  <si>
    <t>Report findings to senior management</t>
  </si>
  <si>
    <t>Examples</t>
  </si>
  <si>
    <t>Internal Audit</t>
  </si>
  <si>
    <t>Independent external reviewers (where applicable)</t>
  </si>
  <si>
    <t>Line of Defense</t>
  </si>
  <si>
    <t>Function</t>
  </si>
  <si>
    <t>AML Responsibilities</t>
  </si>
  <si>
    <t>First Line</t>
  </si>
  <si>
    <t>Business &amp; Operations</t>
  </si>
  <si>
    <t>Customer onboarding, transaction execution, initial escalation</t>
  </si>
  <si>
    <t>Second Line</t>
  </si>
  <si>
    <t>AML &amp; Compliance</t>
  </si>
  <si>
    <t>Risk assessment, monitoring, sanctions screening, SAR escalation</t>
  </si>
  <si>
    <t>Third Line</t>
  </si>
  <si>
    <t>Independent Audit</t>
  </si>
  <si>
    <t>Testing, assurance, validation of AML framework</t>
  </si>
  <si>
    <t>AML Escalation &amp; Reporting Flow</t>
  </si>
  <si>
    <t>Potentially suspicious activity is identified by the first line and escalated to the AML/compliance function for investigation. Where required, matters are further escalated in accordance with internal governance processes and applicable regulatory reporting obligations.</t>
  </si>
  <si>
    <t>Senior Management &amp; Oversight</t>
  </si>
  <si>
    <t>Senior management is responsible for setting AML risk appetite, approving key policies, and ensuring adequate resources for AML compliance. Regular reporting on AML risk exposure, monitoring outcomes, and residual risk levels supports informed oversight and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</si>
</sst>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0" fillId="0" borderId="0" xfId="0" applyAlignment="1">
      <alignment wrapText="1"/>
    </xf>
    <xf numFmtId="0" fontId="0" fillId="0" borderId="0" xfId="0" applyAlignment="1">
      <alignment horizontal="left"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2" fillId="0" borderId="0" xfId="0" applyFont="1"/>
    <xf numFmtId="0" fontId="0" fillId="0" borderId="0" xfId="0" applyAlignment="1">
      <alignment horizontal="left"/>
    </xf>
    <xf numFmtId="0" fontId="0" fillId="0" borderId="0" xfId="0" applyAlignment="1">
      <alignment vertical="center"/>
    </xf>
    <xf numFmtId="0" fontId="0" fillId="0" borderId="0" xfId="0" applyAlignment="1">
      <alignment horizontal="left" vertical="top" wrapText="1"/>
    </xf>
    <xf numFmtId="0" fontId="0" fillId="0" borderId="1" xfId="0" applyBorder="1" applyAlignment="1">
      <alignment horizontal="left" vertical="center" wrapText="1"/>
    </xf>
    <xf numFmtId="0" fontId="2" fillId="0" borderId="0" xfId="0" applyFont="1" applyAlignment="1">
      <alignment vertical="center"/>
    </xf>
    <xf numFmtId="0" fontId="1" fillId="0" borderId="0" xfId="0" applyFont="1" applyAlignment="1">
      <alignment vertical="center"/>
    </xf>
    <xf numFmtId="0" fontId="0" fillId="0" borderId="1" xfId="0" applyBorder="1" applyAlignment="1">
      <alignment horizontal="left" vertical="top" wrapText="1"/>
    </xf>
    <xf numFmtId="0" fontId="1" fillId="0" borderId="1" xfId="0" applyFont="1" applyBorder="1" applyAlignment="1">
      <alignment vertical="center" wrapText="1"/>
    </xf>
    <xf numFmtId="0" fontId="0" fillId="0" borderId="0" xfId="0" applyAlignment="1">
      <alignment horizontal="left" vertical="top"/>
    </xf>
    <xf numFmtId="0" fontId="1" fillId="0" borderId="0" xfId="0" applyFont="1" applyAlignment="1">
      <alignment vertical="top"/>
    </xf>
    <xf numFmtId="0" fontId="1" fillId="0" borderId="0" xfId="0" applyFont="1" applyAlignment="1">
      <alignment horizontal="left" vertical="top"/>
    </xf>
    <xf numFmtId="0" fontId="0" fillId="0" borderId="0" xfId="0" applyFont="1"/>
    <xf numFmtId="0" fontId="3" fillId="0" borderId="0" xfId="0" applyFont="1"/>
    <xf numFmtId="0" fontId="0" fillId="2" borderId="0" xfId="0" applyFill="1" applyAlignment="1">
      <alignment horizontal="left" vertical="top"/>
    </xf>
    <xf numFmtId="0" fontId="0" fillId="2" borderId="0" xfId="0" applyFill="1" applyAlignment="1">
      <alignment horizontal="left" vertical="center"/>
    </xf>
    <xf numFmtId="0" fontId="0" fillId="2" borderId="0" xfId="0" applyFill="1" applyAlignment="1">
      <alignment vertical="center"/>
    </xf>
    <xf numFmtId="0" fontId="0" fillId="2" borderId="0" xfId="0" applyFill="1"/>
    <xf numFmtId="0" fontId="0" fillId="2"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workbookViewId="0">
      <selection activeCell="A6" sqref="A6"/>
    </sheetView>
  </sheetViews>
  <sheetFormatPr defaultRowHeight="14.4" x14ac:dyDescent="0.3"/>
  <cols>
    <col min="1" max="1" width="75" bestFit="1" customWidth="1"/>
    <col min="3" max="3" width="99.5546875" bestFit="1" customWidth="1"/>
  </cols>
  <sheetData>
    <row r="1" spans="1:3" ht="15.6" x14ac:dyDescent="0.3">
      <c r="A1" s="6" t="s">
        <v>3</v>
      </c>
      <c r="C1" s="6" t="s">
        <v>7</v>
      </c>
    </row>
    <row r="2" spans="1:3" x14ac:dyDescent="0.3">
      <c r="A2" t="s">
        <v>0</v>
      </c>
      <c r="C2" t="s">
        <v>17</v>
      </c>
    </row>
    <row r="3" spans="1:3" x14ac:dyDescent="0.3">
      <c r="A3" t="s">
        <v>15</v>
      </c>
    </row>
    <row r="4" spans="1:3" ht="15.6" x14ac:dyDescent="0.3">
      <c r="A4" t="s">
        <v>16</v>
      </c>
      <c r="C4" s="6" t="s">
        <v>8</v>
      </c>
    </row>
    <row r="5" spans="1:3" x14ac:dyDescent="0.3">
      <c r="A5" t="s">
        <v>1</v>
      </c>
      <c r="C5" t="s">
        <v>11</v>
      </c>
    </row>
    <row r="6" spans="1:3" x14ac:dyDescent="0.3">
      <c r="C6" t="s">
        <v>12</v>
      </c>
    </row>
    <row r="7" spans="1:3" ht="15.6" x14ac:dyDescent="0.3">
      <c r="A7" s="6" t="s">
        <v>2</v>
      </c>
      <c r="C7" t="s">
        <v>13</v>
      </c>
    </row>
    <row r="8" spans="1:3" x14ac:dyDescent="0.3">
      <c r="A8" t="s">
        <v>6</v>
      </c>
      <c r="C8" t="s">
        <v>14</v>
      </c>
    </row>
    <row r="9" spans="1:3" x14ac:dyDescent="0.3">
      <c r="A9" t="s">
        <v>5</v>
      </c>
    </row>
    <row r="10" spans="1:3" ht="15.6" x14ac:dyDescent="0.3">
      <c r="A10" t="s">
        <v>4</v>
      </c>
      <c r="C10" s="6" t="s">
        <v>9</v>
      </c>
    </row>
    <row r="11" spans="1:3" ht="28.8" x14ac:dyDescent="0.3">
      <c r="C11" s="2" t="s">
        <v>10</v>
      </c>
    </row>
    <row r="13" spans="1:3" ht="15.6" x14ac:dyDescent="0.3">
      <c r="A13" s="6" t="s">
        <v>18</v>
      </c>
      <c r="C13" s="6" t="s">
        <v>26</v>
      </c>
    </row>
    <row r="14" spans="1:3" ht="28.8" x14ac:dyDescent="0.3">
      <c r="A14" s="2" t="s">
        <v>19</v>
      </c>
      <c r="C14" t="s">
        <v>22</v>
      </c>
    </row>
    <row r="15" spans="1:3" x14ac:dyDescent="0.3">
      <c r="A15" s="1" t="s">
        <v>21</v>
      </c>
      <c r="C15" t="s">
        <v>25</v>
      </c>
    </row>
    <row r="16" spans="1:3" x14ac:dyDescent="0.3">
      <c r="A16" t="s">
        <v>27</v>
      </c>
      <c r="C16" t="s">
        <v>24</v>
      </c>
    </row>
    <row r="17" spans="1:3" x14ac:dyDescent="0.3">
      <c r="A17" t="s">
        <v>20</v>
      </c>
      <c r="C17" t="s">
        <v>23</v>
      </c>
    </row>
    <row r="21" spans="1:3" ht="15.6" x14ac:dyDescent="0.3">
      <c r="A21" s="6" t="s">
        <v>28</v>
      </c>
    </row>
    <row r="22" spans="1:3" ht="144" x14ac:dyDescent="0.3">
      <c r="A22" s="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5D7B-FFAF-4329-986E-41B50049946E}">
  <dimension ref="A1:K37"/>
  <sheetViews>
    <sheetView workbookViewId="0">
      <selection activeCell="A32" sqref="A32"/>
    </sheetView>
  </sheetViews>
  <sheetFormatPr defaultRowHeight="14.4" x14ac:dyDescent="0.3"/>
  <cols>
    <col min="1" max="1" width="91.6640625" bestFit="1" customWidth="1"/>
    <col min="2" max="2" width="13.44140625" bestFit="1" customWidth="1"/>
    <col min="3" max="3" width="19.109375" customWidth="1"/>
    <col min="6" max="6" width="11.6640625" customWidth="1"/>
    <col min="7" max="7" width="13.33203125" customWidth="1"/>
  </cols>
  <sheetData>
    <row r="1" spans="1:11" ht="15.6" x14ac:dyDescent="0.3">
      <c r="A1" s="6" t="s">
        <v>30</v>
      </c>
    </row>
    <row r="2" spans="1:11" ht="43.2" x14ac:dyDescent="0.3">
      <c r="A2" s="3" t="s">
        <v>31</v>
      </c>
    </row>
    <row r="4" spans="1:11" ht="15.6" x14ac:dyDescent="0.3">
      <c r="A4" s="6" t="s">
        <v>32</v>
      </c>
    </row>
    <row r="5" spans="1:11" x14ac:dyDescent="0.3">
      <c r="A5" t="s">
        <v>33</v>
      </c>
    </row>
    <row r="6" spans="1:11" x14ac:dyDescent="0.3">
      <c r="A6" t="s">
        <v>34</v>
      </c>
    </row>
    <row r="8" spans="1:11" ht="15.6" x14ac:dyDescent="0.3">
      <c r="A8" s="1" t="s">
        <v>35</v>
      </c>
      <c r="E8" s="6" t="s">
        <v>74</v>
      </c>
    </row>
    <row r="9" spans="1:11" ht="28.8" x14ac:dyDescent="0.3">
      <c r="A9" s="4" t="s">
        <v>36</v>
      </c>
      <c r="B9" s="4" t="s">
        <v>37</v>
      </c>
      <c r="C9" s="4" t="s">
        <v>38</v>
      </c>
      <c r="E9" s="7" t="s">
        <v>75</v>
      </c>
      <c r="F9" s="7"/>
      <c r="G9" s="7"/>
      <c r="H9" s="7"/>
      <c r="I9" s="7"/>
      <c r="J9" s="7"/>
      <c r="K9" s="7"/>
    </row>
    <row r="10" spans="1:11" s="2" customFormat="1" ht="72" x14ac:dyDescent="0.3">
      <c r="A10" s="5" t="s">
        <v>39</v>
      </c>
      <c r="B10" s="5" t="s">
        <v>40</v>
      </c>
      <c r="C10" s="5" t="s">
        <v>41</v>
      </c>
      <c r="E10" s="8" t="s">
        <v>76</v>
      </c>
      <c r="F10" s="8"/>
      <c r="G10" s="8"/>
      <c r="H10" s="8"/>
    </row>
    <row r="11" spans="1:11" ht="72" x14ac:dyDescent="0.3">
      <c r="A11" s="5" t="s">
        <v>42</v>
      </c>
      <c r="B11" s="5" t="s">
        <v>43</v>
      </c>
      <c r="C11" s="5" t="s">
        <v>44</v>
      </c>
      <c r="E11" s="4" t="s">
        <v>36</v>
      </c>
      <c r="F11" s="4" t="s">
        <v>77</v>
      </c>
      <c r="G11" s="4" t="s">
        <v>58</v>
      </c>
    </row>
    <row r="12" spans="1:11" ht="72" x14ac:dyDescent="0.3">
      <c r="A12" s="5" t="s">
        <v>45</v>
      </c>
      <c r="B12" s="5" t="s">
        <v>46</v>
      </c>
      <c r="C12" s="5" t="s">
        <v>47</v>
      </c>
      <c r="E12" s="5" t="s">
        <v>78</v>
      </c>
      <c r="F12" s="5" t="s">
        <v>79</v>
      </c>
      <c r="G12" s="5" t="s">
        <v>80</v>
      </c>
    </row>
    <row r="13" spans="1:11" ht="129.6" x14ac:dyDescent="0.3">
      <c r="A13" s="5" t="s">
        <v>48</v>
      </c>
      <c r="B13" s="5" t="s">
        <v>49</v>
      </c>
      <c r="C13" s="5" t="s">
        <v>50</v>
      </c>
      <c r="E13" s="5" t="s">
        <v>81</v>
      </c>
      <c r="F13" s="5" t="s">
        <v>82</v>
      </c>
      <c r="G13" s="5" t="s">
        <v>83</v>
      </c>
    </row>
    <row r="14" spans="1:11" ht="100.8" x14ac:dyDescent="0.3">
      <c r="A14" s="5" t="s">
        <v>51</v>
      </c>
      <c r="B14" s="5" t="s">
        <v>52</v>
      </c>
      <c r="C14" s="5" t="s">
        <v>53</v>
      </c>
      <c r="E14" s="5" t="s">
        <v>84</v>
      </c>
      <c r="F14" s="5" t="s">
        <v>85</v>
      </c>
      <c r="G14" s="5" t="s">
        <v>86</v>
      </c>
    </row>
    <row r="15" spans="1:11" ht="115.2" x14ac:dyDescent="0.3">
      <c r="E15" s="5" t="s">
        <v>87</v>
      </c>
      <c r="F15" s="5" t="s">
        <v>88</v>
      </c>
      <c r="G15" s="5" t="s">
        <v>89</v>
      </c>
    </row>
    <row r="17" spans="1:3" ht="15.6" x14ac:dyDescent="0.3">
      <c r="A17" s="6" t="s">
        <v>54</v>
      </c>
    </row>
    <row r="18" spans="1:3" x14ac:dyDescent="0.3">
      <c r="A18" t="s">
        <v>55</v>
      </c>
    </row>
    <row r="20" spans="1:3" x14ac:dyDescent="0.3">
      <c r="A20" s="1" t="s">
        <v>56</v>
      </c>
    </row>
    <row r="21" spans="1:3" ht="28.8" x14ac:dyDescent="0.3">
      <c r="A21" s="4" t="s">
        <v>36</v>
      </c>
      <c r="B21" s="4" t="s">
        <v>57</v>
      </c>
      <c r="C21" s="4" t="s">
        <v>58</v>
      </c>
    </row>
    <row r="22" spans="1:3" ht="43.2" x14ac:dyDescent="0.3">
      <c r="A22" s="5" t="s">
        <v>59</v>
      </c>
      <c r="B22" s="5" t="s">
        <v>60</v>
      </c>
      <c r="C22" s="5" t="s">
        <v>61</v>
      </c>
    </row>
    <row r="23" spans="1:3" ht="43.2" x14ac:dyDescent="0.3">
      <c r="A23" s="5" t="s">
        <v>62</v>
      </c>
      <c r="B23" s="5" t="s">
        <v>63</v>
      </c>
      <c r="C23" s="5" t="s">
        <v>64</v>
      </c>
    </row>
    <row r="24" spans="1:3" ht="57.6" x14ac:dyDescent="0.3">
      <c r="A24" s="5" t="s">
        <v>65</v>
      </c>
      <c r="B24" s="5" t="s">
        <v>66</v>
      </c>
      <c r="C24" s="5" t="s">
        <v>67</v>
      </c>
    </row>
    <row r="25" spans="1:3" ht="43.2" x14ac:dyDescent="0.3">
      <c r="A25" s="5" t="s">
        <v>68</v>
      </c>
      <c r="B25" s="5" t="s">
        <v>69</v>
      </c>
      <c r="C25" s="5" t="s">
        <v>70</v>
      </c>
    </row>
    <row r="26" spans="1:3" ht="57.6" x14ac:dyDescent="0.3">
      <c r="A26" s="5" t="s">
        <v>71</v>
      </c>
      <c r="B26" s="5" t="s">
        <v>72</v>
      </c>
      <c r="C26" s="5" t="s">
        <v>73</v>
      </c>
    </row>
    <row r="29" spans="1:3" ht="15.6" x14ac:dyDescent="0.3">
      <c r="A29" s="6" t="s">
        <v>90</v>
      </c>
    </row>
    <row r="30" spans="1:3" x14ac:dyDescent="0.3">
      <c r="A30" s="1" t="s">
        <v>93</v>
      </c>
    </row>
    <row r="31" spans="1:3" x14ac:dyDescent="0.3">
      <c r="A31" t="s">
        <v>91</v>
      </c>
    </row>
    <row r="32" spans="1:3" x14ac:dyDescent="0.3">
      <c r="A32" t="s">
        <v>92</v>
      </c>
    </row>
    <row r="33" spans="1:3" ht="28.8" x14ac:dyDescent="0.3">
      <c r="A33" s="4" t="s">
        <v>36</v>
      </c>
      <c r="B33" s="4" t="s">
        <v>94</v>
      </c>
      <c r="C33" s="4" t="s">
        <v>58</v>
      </c>
    </row>
    <row r="34" spans="1:3" ht="72" x14ac:dyDescent="0.3">
      <c r="A34" s="5" t="s">
        <v>95</v>
      </c>
      <c r="B34" s="5" t="s">
        <v>96</v>
      </c>
      <c r="C34" s="5" t="s">
        <v>97</v>
      </c>
    </row>
    <row r="35" spans="1:3" ht="43.2" x14ac:dyDescent="0.3">
      <c r="A35" s="5" t="s">
        <v>98</v>
      </c>
      <c r="B35" s="5" t="s">
        <v>99</v>
      </c>
      <c r="C35" s="5" t="s">
        <v>100</v>
      </c>
    </row>
    <row r="36" spans="1:3" ht="72" x14ac:dyDescent="0.3">
      <c r="A36" s="5" t="s">
        <v>101</v>
      </c>
      <c r="B36" s="5" t="s">
        <v>102</v>
      </c>
      <c r="C36" s="5" t="s">
        <v>103</v>
      </c>
    </row>
    <row r="37" spans="1:3" ht="57.6" x14ac:dyDescent="0.3">
      <c r="A37" s="5" t="s">
        <v>104</v>
      </c>
      <c r="B37" s="5" t="s">
        <v>105</v>
      </c>
      <c r="C37" s="5" t="s">
        <v>106</v>
      </c>
    </row>
  </sheetData>
  <mergeCells count="2">
    <mergeCell ref="E10:H10"/>
    <mergeCell ref="E9:K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41E7-B6D5-46F2-A6DC-56D0ADD6936D}">
  <dimension ref="A1:H38"/>
  <sheetViews>
    <sheetView topLeftCell="A23" workbookViewId="0">
      <selection activeCell="H39" sqref="H39"/>
    </sheetView>
  </sheetViews>
  <sheetFormatPr defaultRowHeight="14.4" x14ac:dyDescent="0.3"/>
  <cols>
    <col min="1" max="1" width="30.77734375" customWidth="1"/>
    <col min="2" max="2" width="17" customWidth="1"/>
    <col min="3" max="3" width="9.5546875" customWidth="1"/>
  </cols>
  <sheetData>
    <row r="1" spans="1:7" ht="15.6" x14ac:dyDescent="0.3">
      <c r="A1" s="6" t="s">
        <v>107</v>
      </c>
    </row>
    <row r="3" spans="1:7" ht="46.2" customHeight="1" x14ac:dyDescent="0.3">
      <c r="A3" s="9" t="s">
        <v>108</v>
      </c>
      <c r="B3" s="9"/>
      <c r="C3" s="9"/>
      <c r="D3" s="9"/>
      <c r="E3" s="9"/>
      <c r="F3" s="9"/>
      <c r="G3" s="9"/>
    </row>
    <row r="6" spans="1:7" ht="15.6" x14ac:dyDescent="0.3">
      <c r="A6" s="6" t="s">
        <v>109</v>
      </c>
    </row>
    <row r="7" spans="1:7" x14ac:dyDescent="0.3">
      <c r="B7" s="1" t="s">
        <v>110</v>
      </c>
    </row>
    <row r="8" spans="1:7" ht="28.8" x14ac:dyDescent="0.3">
      <c r="A8" s="4" t="s">
        <v>111</v>
      </c>
      <c r="B8" s="4" t="s">
        <v>112</v>
      </c>
    </row>
    <row r="9" spans="1:7" ht="43.2" x14ac:dyDescent="0.3">
      <c r="A9" s="10">
        <v>1</v>
      </c>
      <c r="B9" s="5" t="s">
        <v>113</v>
      </c>
    </row>
    <row r="10" spans="1:7" x14ac:dyDescent="0.3">
      <c r="A10" s="10">
        <v>2</v>
      </c>
      <c r="B10" s="5" t="s">
        <v>114</v>
      </c>
    </row>
    <row r="11" spans="1:7" x14ac:dyDescent="0.3">
      <c r="A11" s="10">
        <v>3</v>
      </c>
      <c r="B11" s="5" t="s">
        <v>115</v>
      </c>
    </row>
    <row r="12" spans="1:7" x14ac:dyDescent="0.3">
      <c r="A12" s="10">
        <v>4</v>
      </c>
      <c r="B12" s="5" t="s">
        <v>116</v>
      </c>
    </row>
    <row r="13" spans="1:7" x14ac:dyDescent="0.3">
      <c r="A13" s="10">
        <v>5</v>
      </c>
      <c r="B13" s="5" t="s">
        <v>117</v>
      </c>
    </row>
    <row r="16" spans="1:7" x14ac:dyDescent="0.3">
      <c r="B16" s="12" t="s">
        <v>118</v>
      </c>
    </row>
    <row r="17" spans="1:6" x14ac:dyDescent="0.3">
      <c r="A17" s="4" t="s">
        <v>111</v>
      </c>
      <c r="B17" s="4" t="s">
        <v>119</v>
      </c>
    </row>
    <row r="18" spans="1:6" ht="28.8" x14ac:dyDescent="0.3">
      <c r="A18" s="13">
        <v>1</v>
      </c>
      <c r="B18" s="5" t="s">
        <v>120</v>
      </c>
    </row>
    <row r="19" spans="1:6" ht="28.8" x14ac:dyDescent="0.3">
      <c r="A19" s="13">
        <v>2</v>
      </c>
      <c r="B19" s="5" t="s">
        <v>121</v>
      </c>
    </row>
    <row r="20" spans="1:6" ht="28.8" x14ac:dyDescent="0.3">
      <c r="A20" s="13">
        <v>3</v>
      </c>
      <c r="B20" s="5" t="s">
        <v>122</v>
      </c>
    </row>
    <row r="21" spans="1:6" ht="28.8" x14ac:dyDescent="0.3">
      <c r="A21" s="13">
        <v>4</v>
      </c>
      <c r="B21" s="5" t="s">
        <v>123</v>
      </c>
    </row>
    <row r="22" spans="1:6" ht="57.6" x14ac:dyDescent="0.3">
      <c r="A22" s="13">
        <v>5</v>
      </c>
      <c r="B22" s="5" t="s">
        <v>124</v>
      </c>
    </row>
    <row r="25" spans="1:6" ht="15.6" x14ac:dyDescent="0.3">
      <c r="A25" s="6" t="s">
        <v>141</v>
      </c>
    </row>
    <row r="26" spans="1:6" ht="28.8" x14ac:dyDescent="0.3">
      <c r="A26" s="4" t="s">
        <v>36</v>
      </c>
      <c r="B26" s="4" t="s">
        <v>37</v>
      </c>
      <c r="C26" s="4" t="s">
        <v>125</v>
      </c>
      <c r="D26" s="4" t="s">
        <v>126</v>
      </c>
      <c r="E26" s="4" t="s">
        <v>127</v>
      </c>
      <c r="F26" s="4" t="s">
        <v>128</v>
      </c>
    </row>
    <row r="27" spans="1:6" ht="28.8" x14ac:dyDescent="0.3">
      <c r="A27" s="5" t="s">
        <v>39</v>
      </c>
      <c r="B27" s="5" t="s">
        <v>129</v>
      </c>
      <c r="C27" s="5">
        <v>3</v>
      </c>
      <c r="D27" s="5">
        <v>4</v>
      </c>
      <c r="E27" s="5">
        <f>C27*D27</f>
        <v>12</v>
      </c>
      <c r="F27" s="5" t="str">
        <f>IF(E27&lt;=5,"Low",IF(E27&lt;=10,"Medium",IF(E27&lt;=15,"High","Critical")))</f>
        <v>High</v>
      </c>
    </row>
    <row r="28" spans="1:6" ht="43.2" x14ac:dyDescent="0.3">
      <c r="A28" s="5" t="s">
        <v>51</v>
      </c>
      <c r="B28" s="5" t="s">
        <v>131</v>
      </c>
      <c r="C28" s="5">
        <v>2</v>
      </c>
      <c r="D28" s="5">
        <v>5</v>
      </c>
      <c r="E28" s="5">
        <f t="shared" ref="E28:E34" si="0">C28*D28</f>
        <v>10</v>
      </c>
      <c r="F28" s="5" t="str">
        <f t="shared" ref="F28:F34" si="1">IF(E28&lt;=5,"Low",IF(E28&lt;=10,"Medium",IF(E28&lt;=15,"High","Critical")))</f>
        <v>Medium</v>
      </c>
    </row>
    <row r="29" spans="1:6" ht="28.8" x14ac:dyDescent="0.3">
      <c r="A29" s="5" t="s">
        <v>62</v>
      </c>
      <c r="B29" s="5" t="s">
        <v>133</v>
      </c>
      <c r="C29" s="5">
        <v>4</v>
      </c>
      <c r="D29" s="5">
        <v>4</v>
      </c>
      <c r="E29" s="5">
        <f t="shared" si="0"/>
        <v>16</v>
      </c>
      <c r="F29" s="5" t="str">
        <f t="shared" si="1"/>
        <v>Critical</v>
      </c>
    </row>
    <row r="30" spans="1:6" x14ac:dyDescent="0.3">
      <c r="A30" s="5" t="s">
        <v>71</v>
      </c>
      <c r="B30" s="5" t="s">
        <v>135</v>
      </c>
      <c r="C30" s="5">
        <v>3</v>
      </c>
      <c r="D30" s="5">
        <v>3</v>
      </c>
      <c r="E30" s="5">
        <f t="shared" si="0"/>
        <v>9</v>
      </c>
      <c r="F30" s="5" t="str">
        <f t="shared" si="1"/>
        <v>Medium</v>
      </c>
    </row>
    <row r="31" spans="1:6" ht="28.8" x14ac:dyDescent="0.3">
      <c r="A31" s="5" t="s">
        <v>78</v>
      </c>
      <c r="B31" s="5" t="s">
        <v>79</v>
      </c>
      <c r="C31" s="5">
        <v>4</v>
      </c>
      <c r="D31" s="5">
        <v>4</v>
      </c>
      <c r="E31" s="5">
        <f t="shared" si="0"/>
        <v>16</v>
      </c>
      <c r="F31" s="5" t="str">
        <f t="shared" si="1"/>
        <v>Critical</v>
      </c>
    </row>
    <row r="32" spans="1:6" ht="28.8" x14ac:dyDescent="0.3">
      <c r="A32" s="5" t="s">
        <v>84</v>
      </c>
      <c r="B32" s="5" t="s">
        <v>136</v>
      </c>
      <c r="C32" s="5">
        <v>3</v>
      </c>
      <c r="D32" s="5">
        <v>4</v>
      </c>
      <c r="E32" s="5">
        <f t="shared" si="0"/>
        <v>12</v>
      </c>
      <c r="F32" s="5" t="str">
        <f t="shared" si="1"/>
        <v>High</v>
      </c>
    </row>
    <row r="33" spans="1:8" ht="43.2" x14ac:dyDescent="0.3">
      <c r="A33" s="5" t="s">
        <v>95</v>
      </c>
      <c r="B33" s="5" t="s">
        <v>137</v>
      </c>
      <c r="C33" s="5">
        <v>2</v>
      </c>
      <c r="D33" s="5">
        <v>5</v>
      </c>
      <c r="E33" s="5">
        <f t="shared" si="0"/>
        <v>10</v>
      </c>
      <c r="F33" s="5" t="str">
        <f t="shared" si="1"/>
        <v>Medium</v>
      </c>
    </row>
    <row r="34" spans="1:8" ht="28.8" x14ac:dyDescent="0.3">
      <c r="A34" s="5" t="s">
        <v>98</v>
      </c>
      <c r="B34" s="5" t="s">
        <v>138</v>
      </c>
      <c r="C34" s="5">
        <v>3</v>
      </c>
      <c r="D34" s="5">
        <v>4</v>
      </c>
      <c r="E34" s="5">
        <f t="shared" si="0"/>
        <v>12</v>
      </c>
      <c r="F34" s="5" t="str">
        <f t="shared" si="1"/>
        <v>High</v>
      </c>
    </row>
    <row r="37" spans="1:8" ht="15.6" x14ac:dyDescent="0.3">
      <c r="A37" s="6" t="s">
        <v>139</v>
      </c>
    </row>
    <row r="38" spans="1:8" s="2" customFormat="1" ht="49.2" customHeight="1" x14ac:dyDescent="0.3">
      <c r="A38" s="9" t="s">
        <v>140</v>
      </c>
      <c r="B38" s="9"/>
      <c r="C38" s="9"/>
      <c r="D38" s="9"/>
      <c r="E38" s="9"/>
      <c r="F38" s="9"/>
      <c r="G38" s="9"/>
      <c r="H38" s="9"/>
    </row>
  </sheetData>
  <mergeCells count="2">
    <mergeCell ref="A3:G3"/>
    <mergeCell ref="A38:H38"/>
  </mergeCells>
  <conditionalFormatting sqref="A26:F3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F137B-336B-4071-9D27-A73D076753D7}">
  <dimension ref="A1:G9"/>
  <sheetViews>
    <sheetView workbookViewId="0">
      <selection activeCell="F4" sqref="F4"/>
    </sheetView>
  </sheetViews>
  <sheetFormatPr defaultRowHeight="14.4" x14ac:dyDescent="0.3"/>
  <cols>
    <col min="1" max="1" width="12.33203125" bestFit="1" customWidth="1"/>
    <col min="2" max="2" width="6.5546875" bestFit="1" customWidth="1"/>
    <col min="3" max="3" width="16.6640625" customWidth="1"/>
    <col min="4" max="4" width="17.44140625" bestFit="1" customWidth="1"/>
    <col min="5" max="5" width="11.77734375" bestFit="1" customWidth="1"/>
    <col min="6" max="6" width="20.88671875" customWidth="1"/>
    <col min="7" max="7" width="14.21875" bestFit="1" customWidth="1"/>
  </cols>
  <sheetData>
    <row r="1" spans="1:7" ht="28.8" x14ac:dyDescent="0.3">
      <c r="A1" s="4" t="s">
        <v>142</v>
      </c>
      <c r="B1" s="4" t="s">
        <v>36</v>
      </c>
      <c r="C1" s="4" t="s">
        <v>143</v>
      </c>
      <c r="D1" s="4" t="s">
        <v>144</v>
      </c>
      <c r="E1" s="4" t="s">
        <v>145</v>
      </c>
      <c r="F1" s="4" t="s">
        <v>146</v>
      </c>
      <c r="G1" s="4" t="s">
        <v>147</v>
      </c>
    </row>
    <row r="2" spans="1:7" ht="100.8" x14ac:dyDescent="0.3">
      <c r="A2" s="14" t="s">
        <v>148</v>
      </c>
      <c r="B2" s="5" t="s">
        <v>39</v>
      </c>
      <c r="C2" s="5" t="s">
        <v>149</v>
      </c>
      <c r="D2" s="5" t="s">
        <v>172</v>
      </c>
      <c r="E2" s="5" t="s">
        <v>150</v>
      </c>
      <c r="F2" s="5" t="s">
        <v>151</v>
      </c>
      <c r="G2" s="5" t="s">
        <v>152</v>
      </c>
    </row>
    <row r="3" spans="1:7" ht="86.4" x14ac:dyDescent="0.3">
      <c r="A3" s="14" t="s">
        <v>148</v>
      </c>
      <c r="B3" s="5" t="s">
        <v>51</v>
      </c>
      <c r="C3" s="5" t="s">
        <v>153</v>
      </c>
      <c r="D3" s="5" t="s">
        <v>179</v>
      </c>
      <c r="E3" s="5" t="s">
        <v>150</v>
      </c>
      <c r="F3" s="5" t="s">
        <v>180</v>
      </c>
      <c r="G3" s="5" t="s">
        <v>152</v>
      </c>
    </row>
    <row r="4" spans="1:7" ht="72" x14ac:dyDescent="0.3">
      <c r="A4" s="14" t="s">
        <v>154</v>
      </c>
      <c r="B4" s="5" t="s">
        <v>62</v>
      </c>
      <c r="C4" s="5" t="s">
        <v>155</v>
      </c>
      <c r="D4" s="5" t="s">
        <v>178</v>
      </c>
      <c r="E4" s="5" t="s">
        <v>156</v>
      </c>
      <c r="F4" s="5" t="s">
        <v>157</v>
      </c>
      <c r="G4" s="5" t="s">
        <v>158</v>
      </c>
    </row>
    <row r="5" spans="1:7" ht="57.6" x14ac:dyDescent="0.3">
      <c r="A5" s="14" t="s">
        <v>154</v>
      </c>
      <c r="B5" s="5" t="s">
        <v>71</v>
      </c>
      <c r="C5" s="5" t="s">
        <v>159</v>
      </c>
      <c r="D5" s="5" t="s">
        <v>177</v>
      </c>
      <c r="E5" s="5" t="s">
        <v>156</v>
      </c>
      <c r="F5" s="5" t="s">
        <v>160</v>
      </c>
      <c r="G5" s="5" t="s">
        <v>158</v>
      </c>
    </row>
    <row r="6" spans="1:7" ht="86.4" x14ac:dyDescent="0.3">
      <c r="A6" s="14" t="s">
        <v>161</v>
      </c>
      <c r="B6" s="5" t="s">
        <v>78</v>
      </c>
      <c r="C6" s="5" t="s">
        <v>162</v>
      </c>
      <c r="D6" s="5" t="s">
        <v>176</v>
      </c>
      <c r="E6" s="5" t="s">
        <v>150</v>
      </c>
      <c r="F6" s="5" t="s">
        <v>163</v>
      </c>
      <c r="G6" s="5" t="s">
        <v>152</v>
      </c>
    </row>
    <row r="7" spans="1:7" ht="57.6" x14ac:dyDescent="0.3">
      <c r="A7" s="14" t="s">
        <v>161</v>
      </c>
      <c r="B7" s="5" t="s">
        <v>84</v>
      </c>
      <c r="C7" s="5" t="s">
        <v>164</v>
      </c>
      <c r="D7" s="5" t="s">
        <v>175</v>
      </c>
      <c r="E7" s="5" t="s">
        <v>150</v>
      </c>
      <c r="F7" s="5" t="s">
        <v>165</v>
      </c>
      <c r="G7" s="5" t="s">
        <v>166</v>
      </c>
    </row>
    <row r="8" spans="1:7" ht="72" x14ac:dyDescent="0.3">
      <c r="A8" s="14" t="s">
        <v>94</v>
      </c>
      <c r="B8" s="5" t="s">
        <v>95</v>
      </c>
      <c r="C8" s="5" t="s">
        <v>167</v>
      </c>
      <c r="D8" s="5" t="s">
        <v>174</v>
      </c>
      <c r="E8" s="5" t="s">
        <v>150</v>
      </c>
      <c r="F8" s="5" t="s">
        <v>168</v>
      </c>
      <c r="G8" s="5" t="s">
        <v>152</v>
      </c>
    </row>
    <row r="9" spans="1:7" ht="72" x14ac:dyDescent="0.3">
      <c r="A9" s="14" t="s">
        <v>94</v>
      </c>
      <c r="B9" s="5" t="s">
        <v>98</v>
      </c>
      <c r="C9" s="5" t="s">
        <v>169</v>
      </c>
      <c r="D9" s="5" t="s">
        <v>173</v>
      </c>
      <c r="E9" s="5" t="s">
        <v>156</v>
      </c>
      <c r="F9" s="5" t="s">
        <v>170</v>
      </c>
      <c r="G9" s="5" t="s">
        <v>171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D6FE-04E7-46B9-A6B5-814294FD268B}">
  <dimension ref="A1:N31"/>
  <sheetViews>
    <sheetView workbookViewId="0">
      <selection activeCell="E28" sqref="E28"/>
    </sheetView>
  </sheetViews>
  <sheetFormatPr defaultRowHeight="14.4" x14ac:dyDescent="0.3"/>
  <cols>
    <col min="2" max="2" width="12.88671875" customWidth="1"/>
    <col min="3" max="3" width="10.5546875" customWidth="1"/>
    <col min="4" max="4" width="10.6640625" customWidth="1"/>
  </cols>
  <sheetData>
    <row r="1" spans="1:14" ht="15.6" x14ac:dyDescent="0.3">
      <c r="A1" s="6" t="s">
        <v>181</v>
      </c>
    </row>
    <row r="2" spans="1:14" s="15" customFormat="1" ht="28.2" customHeight="1" x14ac:dyDescent="0.3">
      <c r="A2" s="9" t="s">
        <v>182</v>
      </c>
      <c r="B2" s="9"/>
      <c r="C2" s="9"/>
      <c r="D2" s="9"/>
      <c r="E2" s="9"/>
      <c r="F2" s="9"/>
      <c r="G2" s="9"/>
      <c r="H2" s="9"/>
      <c r="I2" s="9"/>
      <c r="J2" s="9"/>
      <c r="K2" s="9"/>
      <c r="L2" s="9"/>
      <c r="M2" s="9"/>
      <c r="N2" s="9"/>
    </row>
    <row r="4" spans="1:14" ht="15.6" x14ac:dyDescent="0.3">
      <c r="A4" s="6" t="s">
        <v>183</v>
      </c>
    </row>
    <row r="5" spans="1:14" x14ac:dyDescent="0.3">
      <c r="A5" s="12" t="s">
        <v>184</v>
      </c>
    </row>
    <row r="6" spans="1:14" x14ac:dyDescent="0.3">
      <c r="A6" s="16" t="s">
        <v>185</v>
      </c>
    </row>
    <row r="7" spans="1:14" x14ac:dyDescent="0.3">
      <c r="A7" s="17" t="s">
        <v>186</v>
      </c>
    </row>
    <row r="9" spans="1:14" ht="15.6" x14ac:dyDescent="0.3">
      <c r="A9" s="6" t="s">
        <v>187</v>
      </c>
    </row>
    <row r="11" spans="1:14" ht="43.2" x14ac:dyDescent="0.3">
      <c r="A11" s="4" t="s">
        <v>36</v>
      </c>
      <c r="B11" s="4" t="s">
        <v>127</v>
      </c>
      <c r="C11" s="4" t="s">
        <v>188</v>
      </c>
      <c r="D11" s="4" t="s">
        <v>189</v>
      </c>
      <c r="E11" s="4" t="s">
        <v>126</v>
      </c>
      <c r="F11" s="4" t="s">
        <v>190</v>
      </c>
      <c r="G11" s="4" t="s">
        <v>191</v>
      </c>
    </row>
    <row r="12" spans="1:14" ht="57.6" x14ac:dyDescent="0.3">
      <c r="A12" s="5" t="s">
        <v>62</v>
      </c>
      <c r="B12" s="5" t="s">
        <v>192</v>
      </c>
      <c r="C12" s="5" t="s">
        <v>193</v>
      </c>
      <c r="D12" s="5">
        <v>2</v>
      </c>
      <c r="E12" s="5">
        <v>4</v>
      </c>
      <c r="F12" s="5">
        <f>D12*E12</f>
        <v>8</v>
      </c>
      <c r="G12" s="5" t="str">
        <f>IF(F12&lt;=5,"Low",IF(F12&lt;=10,"Medium",IF(F12&lt;=15,"High","Critical")))</f>
        <v>Medium</v>
      </c>
    </row>
    <row r="13" spans="1:14" ht="43.2" x14ac:dyDescent="0.3">
      <c r="A13" s="5" t="s">
        <v>78</v>
      </c>
      <c r="B13" s="5" t="s">
        <v>192</v>
      </c>
      <c r="C13" s="5" t="s">
        <v>194</v>
      </c>
      <c r="D13" s="5">
        <v>2</v>
      </c>
      <c r="E13" s="5">
        <v>4</v>
      </c>
      <c r="F13" s="5">
        <f t="shared" ref="F13:F19" si="0">D13*E13</f>
        <v>8</v>
      </c>
      <c r="G13" s="5" t="str">
        <f t="shared" ref="G13:G19" si="1">IF(F13&lt;=5,"Low",IF(F13&lt;=10,"Medium",IF(F13&lt;=15,"High","Critical")))</f>
        <v>Medium</v>
      </c>
    </row>
    <row r="14" spans="1:14" ht="57.6" x14ac:dyDescent="0.3">
      <c r="A14" s="5" t="s">
        <v>39</v>
      </c>
      <c r="B14" s="5" t="s">
        <v>195</v>
      </c>
      <c r="C14" s="5" t="s">
        <v>196</v>
      </c>
      <c r="D14" s="5">
        <v>2</v>
      </c>
      <c r="E14" s="5">
        <v>4</v>
      </c>
      <c r="F14" s="5">
        <f t="shared" si="0"/>
        <v>8</v>
      </c>
      <c r="G14" s="5" t="str">
        <f t="shared" si="1"/>
        <v>Medium</v>
      </c>
    </row>
    <row r="15" spans="1:14" ht="43.2" x14ac:dyDescent="0.3">
      <c r="A15" s="5" t="s">
        <v>84</v>
      </c>
      <c r="B15" s="5" t="s">
        <v>195</v>
      </c>
      <c r="C15" s="5" t="s">
        <v>197</v>
      </c>
      <c r="D15" s="5">
        <v>2</v>
      </c>
      <c r="E15" s="5">
        <v>4</v>
      </c>
      <c r="F15" s="5">
        <f t="shared" si="0"/>
        <v>8</v>
      </c>
      <c r="G15" s="5" t="str">
        <f t="shared" si="1"/>
        <v>Medium</v>
      </c>
    </row>
    <row r="16" spans="1:14" ht="43.2" x14ac:dyDescent="0.3">
      <c r="A16" s="5" t="s">
        <v>98</v>
      </c>
      <c r="B16" s="5" t="s">
        <v>195</v>
      </c>
      <c r="C16" s="5" t="s">
        <v>198</v>
      </c>
      <c r="D16" s="5">
        <v>2</v>
      </c>
      <c r="E16" s="5">
        <v>4</v>
      </c>
      <c r="F16" s="5">
        <f t="shared" si="0"/>
        <v>8</v>
      </c>
      <c r="G16" s="5" t="str">
        <f t="shared" si="1"/>
        <v>Medium</v>
      </c>
    </row>
    <row r="17" spans="1:14" ht="57.6" x14ac:dyDescent="0.3">
      <c r="A17" s="5" t="s">
        <v>71</v>
      </c>
      <c r="B17" s="5" t="s">
        <v>199</v>
      </c>
      <c r="C17" s="5" t="s">
        <v>200</v>
      </c>
      <c r="D17" s="5">
        <v>1</v>
      </c>
      <c r="E17" s="5">
        <v>3</v>
      </c>
      <c r="F17" s="5">
        <f t="shared" si="0"/>
        <v>3</v>
      </c>
      <c r="G17" s="5" t="str">
        <f t="shared" si="1"/>
        <v>Low</v>
      </c>
    </row>
    <row r="18" spans="1:14" ht="28.8" x14ac:dyDescent="0.3">
      <c r="A18" s="5" t="s">
        <v>51</v>
      </c>
      <c r="B18" s="5" t="s">
        <v>202</v>
      </c>
      <c r="C18" s="5" t="s">
        <v>203</v>
      </c>
      <c r="D18" s="5">
        <v>1</v>
      </c>
      <c r="E18" s="5">
        <v>5</v>
      </c>
      <c r="F18" s="5">
        <f t="shared" si="0"/>
        <v>5</v>
      </c>
      <c r="G18" s="5" t="str">
        <f t="shared" si="1"/>
        <v>Low</v>
      </c>
    </row>
    <row r="19" spans="1:14" ht="28.8" x14ac:dyDescent="0.3">
      <c r="A19" s="5" t="s">
        <v>95</v>
      </c>
      <c r="B19" s="5" t="s">
        <v>202</v>
      </c>
      <c r="C19" s="5" t="s">
        <v>204</v>
      </c>
      <c r="D19" s="5">
        <v>1</v>
      </c>
      <c r="E19" s="5">
        <v>5</v>
      </c>
      <c r="F19" s="5">
        <f t="shared" si="0"/>
        <v>5</v>
      </c>
      <c r="G19" s="5" t="str">
        <f t="shared" si="1"/>
        <v>Low</v>
      </c>
    </row>
    <row r="22" spans="1:14" ht="15.6" x14ac:dyDescent="0.3">
      <c r="A22" s="6" t="s">
        <v>205</v>
      </c>
    </row>
    <row r="23" spans="1:14" s="15" customFormat="1" ht="32.4" customHeight="1" x14ac:dyDescent="0.3">
      <c r="A23" s="9" t="s">
        <v>206</v>
      </c>
      <c r="B23" s="9"/>
      <c r="C23" s="9"/>
      <c r="D23" s="9"/>
      <c r="E23" s="9"/>
      <c r="F23" s="9"/>
      <c r="G23" s="9"/>
      <c r="H23" s="9"/>
      <c r="I23" s="9"/>
      <c r="J23" s="9"/>
      <c r="K23" s="9"/>
      <c r="L23" s="9"/>
      <c r="M23" s="9"/>
      <c r="N23" s="9"/>
    </row>
    <row r="26" spans="1:14" ht="15.6" x14ac:dyDescent="0.3">
      <c r="A26" s="6" t="s">
        <v>207</v>
      </c>
    </row>
    <row r="27" spans="1:14" ht="28.8" x14ac:dyDescent="0.3">
      <c r="B27" s="4" t="s">
        <v>191</v>
      </c>
      <c r="C27" s="4" t="s">
        <v>208</v>
      </c>
    </row>
    <row r="28" spans="1:14" ht="43.2" x14ac:dyDescent="0.3">
      <c r="B28" s="5" t="s">
        <v>134</v>
      </c>
      <c r="C28" s="5" t="s">
        <v>209</v>
      </c>
    </row>
    <row r="29" spans="1:14" ht="43.2" x14ac:dyDescent="0.3">
      <c r="B29" s="5" t="s">
        <v>130</v>
      </c>
      <c r="C29" s="5" t="s">
        <v>210</v>
      </c>
    </row>
    <row r="30" spans="1:14" ht="28.8" x14ac:dyDescent="0.3">
      <c r="B30" s="5" t="s">
        <v>132</v>
      </c>
      <c r="C30" s="5" t="s">
        <v>211</v>
      </c>
    </row>
    <row r="31" spans="1:14" ht="43.2" x14ac:dyDescent="0.3">
      <c r="B31" s="5" t="s">
        <v>201</v>
      </c>
      <c r="C31" s="5" t="s">
        <v>212</v>
      </c>
    </row>
  </sheetData>
  <mergeCells count="2">
    <mergeCell ref="A2:N2"/>
    <mergeCell ref="A23:N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CE6E-92D5-40CB-9DB4-561F1EFA05FB}">
  <dimension ref="A1:Q38"/>
  <sheetViews>
    <sheetView tabSelected="1" workbookViewId="0">
      <selection activeCell="I31" sqref="I31"/>
    </sheetView>
  </sheetViews>
  <sheetFormatPr defaultRowHeight="14.4" x14ac:dyDescent="0.3"/>
  <cols>
    <col min="5" max="5" width="9.77734375" customWidth="1"/>
    <col min="8" max="8" width="11" customWidth="1"/>
    <col min="9" max="9" width="11.6640625" customWidth="1"/>
    <col min="10" max="10" width="14.44140625" customWidth="1"/>
  </cols>
  <sheetData>
    <row r="1" spans="1:17" ht="15.6" x14ac:dyDescent="0.3">
      <c r="A1" s="6" t="s">
        <v>213</v>
      </c>
    </row>
    <row r="2" spans="1:17" s="15" customFormat="1" ht="29.4" customHeight="1" x14ac:dyDescent="0.3">
      <c r="A2" s="9" t="s">
        <v>214</v>
      </c>
      <c r="B2" s="9"/>
      <c r="C2" s="9"/>
      <c r="D2" s="9"/>
      <c r="E2" s="9"/>
      <c r="F2" s="9"/>
      <c r="G2" s="9"/>
      <c r="H2" s="9"/>
      <c r="I2" s="9"/>
      <c r="J2" s="9"/>
      <c r="K2" s="9"/>
      <c r="L2" s="9"/>
      <c r="M2" s="9"/>
    </row>
    <row r="4" spans="1:17" ht="15.6" x14ac:dyDescent="0.3">
      <c r="A4" s="6" t="s">
        <v>215</v>
      </c>
    </row>
    <row r="5" spans="1:17" x14ac:dyDescent="0.3">
      <c r="A5" s="18" t="s">
        <v>216</v>
      </c>
    </row>
    <row r="6" spans="1:17" x14ac:dyDescent="0.3">
      <c r="A6" s="18" t="s">
        <v>217</v>
      </c>
    </row>
    <row r="7" spans="1:17" x14ac:dyDescent="0.3">
      <c r="A7" s="18" t="s">
        <v>218</v>
      </c>
    </row>
    <row r="8" spans="1:17" x14ac:dyDescent="0.3">
      <c r="A8" s="19" t="s">
        <v>219</v>
      </c>
    </row>
    <row r="11" spans="1:17" ht="15.6" x14ac:dyDescent="0.3">
      <c r="A11" s="11" t="s">
        <v>220</v>
      </c>
      <c r="G11" s="11" t="s">
        <v>231</v>
      </c>
      <c r="M11" s="11" t="s">
        <v>243</v>
      </c>
    </row>
    <row r="12" spans="1:17" x14ac:dyDescent="0.3">
      <c r="A12" s="12"/>
    </row>
    <row r="13" spans="1:17" x14ac:dyDescent="0.3">
      <c r="A13" s="1" t="s">
        <v>221</v>
      </c>
      <c r="G13" s="1" t="s">
        <v>232</v>
      </c>
      <c r="M13" s="1" t="s">
        <v>244</v>
      </c>
    </row>
    <row r="14" spans="1:17" x14ac:dyDescent="0.3">
      <c r="A14" s="18"/>
    </row>
    <row r="15" spans="1:17" x14ac:dyDescent="0.3">
      <c r="A15" s="12" t="s">
        <v>222</v>
      </c>
      <c r="G15" s="12" t="s">
        <v>222</v>
      </c>
      <c r="M15" s="12" t="s">
        <v>222</v>
      </c>
    </row>
    <row r="16" spans="1:17" x14ac:dyDescent="0.3">
      <c r="A16" s="20" t="s">
        <v>223</v>
      </c>
      <c r="B16" s="20"/>
      <c r="C16" s="20"/>
      <c r="D16" s="20"/>
      <c r="E16" s="20"/>
      <c r="G16" s="22" t="s">
        <v>233</v>
      </c>
      <c r="H16" s="23"/>
      <c r="I16" s="23"/>
      <c r="J16" s="23"/>
      <c r="M16" s="22" t="s">
        <v>245</v>
      </c>
      <c r="N16" s="23"/>
      <c r="O16" s="23"/>
      <c r="P16" s="23"/>
      <c r="Q16" s="23"/>
    </row>
    <row r="17" spans="1:17" x14ac:dyDescent="0.3">
      <c r="A17" s="20" t="s">
        <v>224</v>
      </c>
      <c r="B17" s="20"/>
      <c r="C17" s="20"/>
      <c r="D17" s="20"/>
      <c r="E17" s="20"/>
      <c r="G17" s="22" t="s">
        <v>234</v>
      </c>
      <c r="H17" s="23"/>
      <c r="I17" s="23"/>
      <c r="J17" s="23"/>
      <c r="M17" s="22" t="s">
        <v>246</v>
      </c>
      <c r="N17" s="23"/>
      <c r="O17" s="23"/>
      <c r="P17" s="23"/>
      <c r="Q17" s="23"/>
    </row>
    <row r="18" spans="1:17" x14ac:dyDescent="0.3">
      <c r="A18" s="21" t="s">
        <v>225</v>
      </c>
      <c r="B18" s="21"/>
      <c r="C18" s="21"/>
      <c r="D18" s="21"/>
      <c r="E18" s="21"/>
      <c r="G18" s="22" t="s">
        <v>235</v>
      </c>
      <c r="H18" s="23"/>
      <c r="I18" s="23"/>
      <c r="J18" s="23"/>
      <c r="M18" s="22" t="s">
        <v>247</v>
      </c>
      <c r="N18" s="23"/>
      <c r="O18" s="23"/>
      <c r="P18" s="23"/>
      <c r="Q18" s="23"/>
    </row>
    <row r="19" spans="1:17" x14ac:dyDescent="0.3">
      <c r="A19" s="20" t="s">
        <v>226</v>
      </c>
      <c r="B19" s="20"/>
      <c r="C19" s="20"/>
      <c r="D19" s="20"/>
      <c r="E19" s="20"/>
      <c r="G19" s="22" t="s">
        <v>236</v>
      </c>
      <c r="H19" s="23"/>
      <c r="I19" s="23"/>
      <c r="J19" s="23"/>
      <c r="M19" s="22" t="s">
        <v>248</v>
      </c>
      <c r="N19" s="23"/>
      <c r="O19" s="23"/>
      <c r="P19" s="23"/>
      <c r="Q19" s="23"/>
    </row>
    <row r="20" spans="1:17" x14ac:dyDescent="0.3">
      <c r="G20" s="22" t="s">
        <v>237</v>
      </c>
      <c r="H20" s="23"/>
      <c r="I20" s="23"/>
      <c r="J20" s="23"/>
    </row>
    <row r="21" spans="1:17" x14ac:dyDescent="0.3">
      <c r="A21" s="12" t="s">
        <v>227</v>
      </c>
      <c r="G21" s="22" t="s">
        <v>238</v>
      </c>
      <c r="H21" s="23"/>
      <c r="I21" s="23"/>
      <c r="J21" s="23"/>
      <c r="M21" s="12" t="s">
        <v>249</v>
      </c>
    </row>
    <row r="22" spans="1:17" x14ac:dyDescent="0.3">
      <c r="A22" s="22" t="s">
        <v>228</v>
      </c>
      <c r="B22" s="23"/>
      <c r="C22" s="23"/>
      <c r="D22" s="23"/>
      <c r="M22" s="22" t="s">
        <v>250</v>
      </c>
      <c r="N22" s="23"/>
      <c r="O22" s="23"/>
      <c r="P22" s="23"/>
      <c r="Q22" s="23"/>
    </row>
    <row r="23" spans="1:17" x14ac:dyDescent="0.3">
      <c r="A23" s="22" t="s">
        <v>229</v>
      </c>
      <c r="B23" s="23"/>
      <c r="C23" s="23"/>
      <c r="D23" s="23"/>
      <c r="G23" s="12" t="s">
        <v>239</v>
      </c>
      <c r="M23" s="22" t="s">
        <v>251</v>
      </c>
      <c r="N23" s="23"/>
      <c r="O23" s="23"/>
      <c r="P23" s="23"/>
      <c r="Q23" s="23"/>
    </row>
    <row r="24" spans="1:17" x14ac:dyDescent="0.3">
      <c r="A24" s="22" t="s">
        <v>230</v>
      </c>
      <c r="B24" s="23"/>
      <c r="C24" s="23"/>
      <c r="D24" s="23"/>
      <c r="E24" s="23"/>
      <c r="G24" s="22" t="s">
        <v>240</v>
      </c>
      <c r="H24" s="23"/>
      <c r="I24" s="23"/>
    </row>
    <row r="25" spans="1:17" x14ac:dyDescent="0.3">
      <c r="G25" s="22" t="s">
        <v>241</v>
      </c>
      <c r="H25" s="23"/>
      <c r="I25" s="23"/>
    </row>
    <row r="26" spans="1:17" x14ac:dyDescent="0.3">
      <c r="G26" s="22" t="s">
        <v>242</v>
      </c>
      <c r="H26" s="23"/>
      <c r="I26" s="23"/>
    </row>
    <row r="29" spans="1:17" ht="43.2" x14ac:dyDescent="0.3">
      <c r="H29" s="4" t="s">
        <v>252</v>
      </c>
      <c r="I29" s="4" t="s">
        <v>253</v>
      </c>
      <c r="J29" s="4" t="s">
        <v>254</v>
      </c>
    </row>
    <row r="30" spans="1:17" ht="72" x14ac:dyDescent="0.3">
      <c r="H30" s="14" t="s">
        <v>255</v>
      </c>
      <c r="I30" s="5" t="s">
        <v>256</v>
      </c>
      <c r="J30" s="24" t="s">
        <v>257</v>
      </c>
    </row>
    <row r="31" spans="1:17" ht="86.4" x14ac:dyDescent="0.3">
      <c r="H31" s="14" t="s">
        <v>258</v>
      </c>
      <c r="I31" s="5" t="s">
        <v>259</v>
      </c>
      <c r="J31" s="24" t="s">
        <v>260</v>
      </c>
    </row>
    <row r="32" spans="1:17" ht="57.6" x14ac:dyDescent="0.3">
      <c r="H32" s="14" t="s">
        <v>261</v>
      </c>
      <c r="I32" s="5" t="s">
        <v>262</v>
      </c>
      <c r="J32" s="24" t="s">
        <v>263</v>
      </c>
    </row>
    <row r="34" spans="1:12" ht="15.6" x14ac:dyDescent="0.3">
      <c r="A34" s="6" t="s">
        <v>264</v>
      </c>
    </row>
    <row r="35" spans="1:12" ht="29.4" customHeight="1" x14ac:dyDescent="0.3">
      <c r="A35" s="9" t="s">
        <v>265</v>
      </c>
      <c r="B35" s="9"/>
      <c r="C35" s="9"/>
      <c r="D35" s="9"/>
      <c r="E35" s="9"/>
      <c r="F35" s="9"/>
      <c r="G35" s="9"/>
      <c r="H35" s="9"/>
      <c r="I35" s="9"/>
      <c r="J35" s="9"/>
      <c r="K35" s="9"/>
      <c r="L35" s="9"/>
    </row>
    <row r="37" spans="1:12" ht="15.6" x14ac:dyDescent="0.3">
      <c r="A37" s="6" t="s">
        <v>266</v>
      </c>
    </row>
    <row r="38" spans="1:12" s="15" customFormat="1" ht="31.8" customHeight="1" x14ac:dyDescent="0.3">
      <c r="A38" s="9" t="s">
        <v>267</v>
      </c>
      <c r="B38" s="9"/>
      <c r="C38" s="9"/>
      <c r="D38" s="9"/>
      <c r="E38" s="9"/>
      <c r="F38" s="9"/>
      <c r="G38" s="9"/>
      <c r="H38" s="9"/>
      <c r="I38" s="9"/>
      <c r="J38" s="9"/>
      <c r="K38" s="9"/>
      <c r="L38" s="9"/>
    </row>
  </sheetData>
  <mergeCells count="7">
    <mergeCell ref="A2:M2"/>
    <mergeCell ref="A35:L35"/>
    <mergeCell ref="A38:L38"/>
    <mergeCell ref="A16:E16"/>
    <mergeCell ref="A17:E17"/>
    <mergeCell ref="A18:E18"/>
    <mergeCell ref="A19:E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Institution Overview</vt:lpstr>
      <vt:lpstr>ML Risk Identification</vt:lpstr>
      <vt:lpstr>AML Risk Heatmap</vt:lpstr>
      <vt:lpstr>Risk Control Matrix</vt:lpstr>
      <vt:lpstr>Residual Risk Assessment</vt:lpstr>
      <vt:lpstr>Three Lines of Defence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Utkal Pandey</dc:creator>
  <cp:lastModifiedBy>Utkal Pandey</cp:lastModifiedBy>
  <dcterms:created xsi:type="dcterms:W3CDTF">2015-06-05T18:17:20Z</dcterms:created>
  <dcterms:modified xsi:type="dcterms:W3CDTF">2025-12-28T15:45:58Z</dcterms:modified>
</cp:coreProperties>
</file>